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iinternational-my.sharepoint.com/personal/divyaprakash_saicloud_co_in/Documents/Morning Reports/2025 - 26/04012025/"/>
    </mc:Choice>
  </mc:AlternateContent>
  <xr:revisionPtr revIDLastSave="398" documentId="13_ncr:1_{7E9F734F-4E75-435B-A32D-45FB08D8EB5C}" xr6:coauthVersionLast="47" xr6:coauthVersionMax="47" xr10:uidLastSave="{A07EEA7C-A389-4323-A391-1075F738E56C}"/>
  <bookViews>
    <workbookView xWindow="-120" yWindow="-120" windowWidth="29040" windowHeight="15720" tabRatio="500" xr2:uid="{00000000-000D-0000-FFFF-FFFF00000000}"/>
  </bookViews>
  <sheets>
    <sheet name="Dash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" i="1" l="1"/>
  <c r="AB11" i="1"/>
  <c r="AB13" i="1" l="1"/>
  <c r="W23" i="1"/>
  <c r="W25" i="1" s="1"/>
  <c r="Y20" i="1"/>
  <c r="Y21" i="1"/>
  <c r="X23" i="1"/>
  <c r="X27" i="1" s="1"/>
  <c r="B23" i="1"/>
  <c r="B27" i="1" s="1"/>
  <c r="C23" i="1"/>
  <c r="C27" i="1" s="1"/>
  <c r="D23" i="1"/>
  <c r="D27" i="1" s="1"/>
  <c r="E23" i="1"/>
  <c r="E27" i="1" s="1"/>
  <c r="F23" i="1"/>
  <c r="F27" i="1" s="1"/>
  <c r="G23" i="1"/>
  <c r="G27" i="1" s="1"/>
  <c r="H23" i="1"/>
  <c r="H27" i="1" s="1"/>
  <c r="I23" i="1"/>
  <c r="I27" i="1" s="1"/>
  <c r="J23" i="1"/>
  <c r="J27" i="1" s="1"/>
  <c r="K23" i="1"/>
  <c r="K27" i="1" s="1"/>
  <c r="L23" i="1"/>
  <c r="L27" i="1" s="1"/>
  <c r="M23" i="1"/>
  <c r="M27" i="1" s="1"/>
  <c r="N23" i="1"/>
  <c r="N27" i="1" s="1"/>
  <c r="O23" i="1"/>
  <c r="O27" i="1" s="1"/>
  <c r="V23" i="1"/>
  <c r="V27" i="1" s="1"/>
  <c r="U23" i="1"/>
  <c r="U27" i="1" s="1"/>
  <c r="T23" i="1"/>
  <c r="T27" i="1" s="1"/>
  <c r="S23" i="1"/>
  <c r="S27" i="1" s="1"/>
  <c r="R23" i="1"/>
  <c r="R27" i="1" s="1"/>
  <c r="Q23" i="1"/>
  <c r="Q27" i="1" s="1"/>
  <c r="P23" i="1"/>
  <c r="Y29" i="1"/>
  <c r="P27" i="1" l="1"/>
  <c r="Y27" i="1" s="1"/>
  <c r="AC11" i="1"/>
  <c r="V25" i="1"/>
  <c r="X28" i="1"/>
  <c r="W28" i="1"/>
  <c r="W27" i="1"/>
  <c r="AC4" i="1"/>
  <c r="AC6" i="1"/>
  <c r="AC7" i="1"/>
  <c r="AC8" i="1"/>
  <c r="AC13" i="1"/>
  <c r="Z24" i="1" l="1"/>
  <c r="AB9" i="1"/>
  <c r="AB8" i="1"/>
  <c r="AB7" i="1"/>
  <c r="AB6" i="1"/>
  <c r="Y30" i="1" l="1"/>
  <c r="AC3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" i="1"/>
  <c r="V28" i="1"/>
  <c r="X25" i="1" l="1"/>
  <c r="R28" i="1" l="1"/>
  <c r="R25" i="1"/>
  <c r="Q28" i="1"/>
  <c r="Q25" i="1"/>
  <c r="AB4" i="1" l="1"/>
  <c r="AB3" i="1"/>
  <c r="Y23" i="1" l="1"/>
  <c r="AD11" i="1"/>
  <c r="F28" i="1"/>
  <c r="H25" i="1"/>
  <c r="P25" i="1"/>
  <c r="L28" i="1"/>
  <c r="G25" i="1"/>
  <c r="N28" i="1"/>
  <c r="T28" i="1"/>
  <c r="D28" i="1"/>
  <c r="M28" i="1"/>
  <c r="U28" i="1"/>
  <c r="E28" i="1"/>
  <c r="O25" i="1"/>
  <c r="AD7" i="1"/>
  <c r="AD8" i="1"/>
  <c r="AC9" i="1"/>
  <c r="AD9" i="1" s="1"/>
  <c r="AD6" i="1"/>
  <c r="AB5" i="1"/>
  <c r="AD3" i="1"/>
  <c r="I25" i="1"/>
  <c r="G28" i="1"/>
  <c r="O28" i="1"/>
  <c r="B25" i="1"/>
  <c r="J25" i="1"/>
  <c r="H28" i="1"/>
  <c r="P28" i="1"/>
  <c r="C25" i="1"/>
  <c r="K25" i="1"/>
  <c r="S25" i="1"/>
  <c r="I28" i="1"/>
  <c r="D25" i="1"/>
  <c r="L25" i="1"/>
  <c r="T25" i="1"/>
  <c r="B28" i="1"/>
  <c r="J28" i="1"/>
  <c r="E25" i="1"/>
  <c r="M25" i="1"/>
  <c r="U25" i="1"/>
  <c r="C28" i="1"/>
  <c r="K28" i="1"/>
  <c r="S28" i="1"/>
  <c r="F25" i="1"/>
  <c r="N25" i="1"/>
  <c r="AD13" i="1"/>
  <c r="AB10" i="1" l="1"/>
  <c r="AB12" i="1" s="1"/>
  <c r="Y28" i="1"/>
  <c r="Y25" i="1"/>
  <c r="AC5" i="1"/>
  <c r="AD5" i="1" s="1"/>
  <c r="AD4" i="1"/>
  <c r="AB14" i="1" l="1"/>
  <c r="AC10" i="1"/>
  <c r="AD10" i="1" s="1"/>
  <c r="AB16" i="1" l="1"/>
  <c r="AB17" i="1" s="1"/>
  <c r="AB15" i="1"/>
  <c r="AC12" i="1"/>
  <c r="AC14" i="1" l="1"/>
  <c r="AC15" i="1" s="1"/>
  <c r="AD12" i="1"/>
  <c r="AC16" i="1" l="1"/>
  <c r="AD15" i="1"/>
  <c r="AD14" i="1"/>
  <c r="AC17" i="1" l="1"/>
  <c r="AD17" i="1" s="1"/>
  <c r="AD16" i="1"/>
</calcChain>
</file>

<file path=xl/sharedStrings.xml><?xml version="1.0" encoding="utf-8"?>
<sst xmlns="http://schemas.openxmlformats.org/spreadsheetml/2006/main" count="100" uniqueCount="76">
  <si>
    <t>Row Labels</t>
  </si>
  <si>
    <t>PlayGroup</t>
  </si>
  <si>
    <t>Nursery</t>
  </si>
  <si>
    <t>KGI</t>
  </si>
  <si>
    <t>KGII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</si>
  <si>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</si>
  <si>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</si>
  <si>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</si>
  <si>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</si>
  <si>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</si>
  <si>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</si>
  <si>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</si>
  <si>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</si>
  <si>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</si>
  <si>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</si>
  <si>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 Sci</t>
  </si>
  <si>
    <t>XICommerce</t>
  </si>
  <si>
    <t>XI Humanities</t>
  </si>
  <si>
    <t>XII Commerce</t>
  </si>
  <si>
    <t>XII Humanities</t>
  </si>
  <si>
    <t>XII Sci</t>
  </si>
  <si>
    <t>Grand Total</t>
  </si>
  <si>
    <t>Unidentified</t>
  </si>
  <si>
    <t>A</t>
  </si>
  <si>
    <t>Group</t>
  </si>
  <si>
    <t>Strength</t>
  </si>
  <si>
    <t>Collxn</t>
  </si>
  <si>
    <t>Percentage</t>
  </si>
  <si>
    <t>B</t>
  </si>
  <si>
    <t>PG</t>
  </si>
  <si>
    <t>C</t>
  </si>
  <si>
    <t>Nur-KGII</t>
  </si>
  <si>
    <t>D</t>
  </si>
  <si>
    <t>TOTAL</t>
  </si>
  <si>
    <t>E</t>
  </si>
  <si>
    <t>I-III</t>
  </si>
  <si>
    <t>F</t>
  </si>
  <si>
    <t>IV-V</t>
  </si>
  <si>
    <t>G</t>
  </si>
  <si>
    <t>VI-VIII</t>
  </si>
  <si>
    <t>H</t>
  </si>
  <si>
    <t>IX-X</t>
  </si>
  <si>
    <t>J</t>
  </si>
  <si>
    <t>XI</t>
  </si>
  <si>
    <t>K</t>
  </si>
  <si>
    <t>L</t>
  </si>
  <si>
    <t>XII</t>
  </si>
  <si>
    <t>M</t>
  </si>
  <si>
    <t>Excluding 11</t>
  </si>
  <si>
    <t>O</t>
  </si>
  <si>
    <t>P</t>
  </si>
  <si>
    <t>Q</t>
  </si>
  <si>
    <t>R</t>
  </si>
  <si>
    <t xml:space="preserve">Hostel </t>
  </si>
  <si>
    <t>Cumulative Py Collxn Today</t>
  </si>
  <si>
    <t>Total no of Students</t>
  </si>
  <si>
    <t>percentage of Collxn</t>
  </si>
  <si>
    <t>Cumulative Py Collxn Yesterday</t>
  </si>
  <si>
    <t>Collection Today</t>
  </si>
  <si>
    <t>Unpaid Students</t>
  </si>
  <si>
    <t>Date</t>
  </si>
  <si>
    <t>XIHumanities</t>
  </si>
  <si>
    <t>XIICommerce</t>
  </si>
  <si>
    <t>XIIHumanities</t>
  </si>
  <si>
    <t>XIISci</t>
  </si>
  <si>
    <t>Remarks</t>
  </si>
  <si>
    <t>XI CAMBRIDGE</t>
  </si>
  <si>
    <t>RTE</t>
  </si>
  <si>
    <t>School Total (Including Unidentified)</t>
  </si>
  <si>
    <t>NA</t>
  </si>
  <si>
    <t>XII IBCP</t>
  </si>
  <si>
    <t>XII CAMBRIDGE</t>
  </si>
  <si>
    <t>RTE Count</t>
  </si>
  <si>
    <t>Unpaid RTE</t>
  </si>
  <si>
    <t>XI Commerce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</si>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</sst>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AE3F3"/>
        <bgColor rgb="FFCCFFFF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F8CBAD"/>
        <bgColor rgb="FFDAE3F3"/>
      </patternFill>
    </fill>
    <fill>
      <patternFill patternType="solid">
        <fgColor rgb="FFB4C7E7"/>
        <bgColor rgb="FF99CC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0" fontId="4" fillId="0" borderId="0" applyBorder="0" applyProtection="0"/>
    <xf numFmtId="0" fontId="6" fillId="0" borderId="0" applyBorder="0" applyProtection="0">
      <alignment horizontal="left"/>
    </xf>
    <xf numFmtId="0" fontId="6" fillId="0" borderId="0" applyBorder="0" applyProtection="0"/>
    <xf numFmtId="0" fontId="6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6" fillId="0" borderId="0" applyBorder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4" applyNumberFormat="0" applyAlignment="0" applyProtection="0"/>
    <xf numFmtId="0" fontId="15" fillId="13" borderId="5" applyNumberFormat="0" applyAlignment="0" applyProtection="0"/>
    <xf numFmtId="0" fontId="16" fillId="13" borderId="4" applyNumberFormat="0" applyAlignment="0" applyProtection="0"/>
    <xf numFmtId="0" fontId="17" fillId="0" borderId="6" applyNumberFormat="0" applyFill="0" applyAlignment="0" applyProtection="0"/>
    <xf numFmtId="0" fontId="18" fillId="14" borderId="7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2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2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2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2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2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3" fillId="0" borderId="0" applyNumberFormat="0" applyFont="0" applyFill="0" applyBorder="0" applyAlignment="0" applyProtection="0"/>
    <xf numFmtId="0" fontId="1" fillId="0" borderId="0"/>
    <xf numFmtId="0" fontId="1" fillId="15" borderId="8" applyNumberFormat="0" applyFont="0" applyAlignment="0" applyProtection="0"/>
    <xf numFmtId="0" fontId="1" fillId="0" borderId="0"/>
    <xf numFmtId="0" fontId="1" fillId="15" borderId="8" applyNumberFormat="0" applyFont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4" fillId="0" borderId="0" applyNumberFormat="0" applyFont="0" applyFill="0" applyBorder="0" applyAlignment="0" applyProtection="0"/>
  </cellStyleXfs>
  <cellXfs count="37">
    <xf numFmtId="0" fontId="0" fillId="0" borderId="0" xfId="0"/>
    <xf numFmtId="0" fontId="4" fillId="0" borderId="10" xfId="1" applyBorder="1" applyAlignment="1" applyProtection="1">
      <alignment horizontal="right" textRotation="90"/>
    </xf>
    <xf numFmtId="0" fontId="3" fillId="0" borderId="10" xfId="0" applyFont="1" applyBorder="1" applyAlignment="1">
      <alignment horizontal="right" textRotation="90"/>
    </xf>
    <xf numFmtId="2" fontId="3" fillId="2" borderId="10" xfId="0" applyNumberFormat="1" applyFont="1" applyFill="1" applyBorder="1" applyAlignment="1">
      <alignment horizontal="right" textRotation="90"/>
    </xf>
    <xf numFmtId="0" fontId="3" fillId="0" borderId="10" xfId="0" applyFont="1" applyBorder="1" applyAlignment="1">
      <alignment horizontal="left"/>
    </xf>
    <xf numFmtId="0" fontId="0" fillId="0" borderId="10" xfId="0" applyBorder="1"/>
    <xf numFmtId="0" fontId="3" fillId="0" borderId="10" xfId="0" applyFont="1" applyBorder="1"/>
    <xf numFmtId="0" fontId="3" fillId="3" borderId="10" xfId="0" applyFont="1" applyFill="1" applyBorder="1"/>
    <xf numFmtId="2" fontId="3" fillId="2" borderId="10" xfId="0" applyNumberFormat="1" applyFont="1" applyFill="1" applyBorder="1"/>
    <xf numFmtId="1" fontId="3" fillId="0" borderId="10" xfId="0" applyNumberFormat="1" applyFont="1" applyBorder="1"/>
    <xf numFmtId="1" fontId="3" fillId="3" borderId="10" xfId="0" applyNumberFormat="1" applyFont="1" applyFill="1" applyBorder="1"/>
    <xf numFmtId="0" fontId="3" fillId="5" borderId="10" xfId="0" applyFont="1" applyFill="1" applyBorder="1"/>
    <xf numFmtId="0" fontId="3" fillId="5" borderId="10" xfId="0" applyFont="1" applyFill="1" applyBorder="1" applyAlignment="1">
      <alignment vertical="center"/>
    </xf>
    <xf numFmtId="2" fontId="3" fillId="2" borderId="10" xfId="0" applyNumberFormat="1" applyFont="1" applyFill="1" applyBorder="1" applyAlignment="1">
      <alignment vertical="center"/>
    </xf>
    <xf numFmtId="0" fontId="3" fillId="5" borderId="10" xfId="0" applyFont="1" applyFill="1" applyBorder="1" applyAlignment="1">
      <alignment wrapText="1"/>
    </xf>
    <xf numFmtId="0" fontId="3" fillId="6" borderId="10" xfId="0" applyFont="1" applyFill="1" applyBorder="1"/>
    <xf numFmtId="0" fontId="3" fillId="3" borderId="10" xfId="0" applyFont="1" applyFill="1" applyBorder="1" applyAlignment="1">
      <alignment horizontal="left"/>
    </xf>
    <xf numFmtId="2" fontId="3" fillId="3" borderId="10" xfId="0" applyNumberFormat="1" applyFont="1" applyFill="1" applyBorder="1"/>
    <xf numFmtId="0" fontId="3" fillId="4" borderId="10" xfId="0" applyFont="1" applyFill="1" applyBorder="1"/>
    <xf numFmtId="0" fontId="3" fillId="7" borderId="10" xfId="0" applyFont="1" applyFill="1" applyBorder="1"/>
    <xf numFmtId="0" fontId="3" fillId="6" borderId="10" xfId="0" applyFont="1" applyFill="1" applyBorder="1" applyAlignment="1">
      <alignment horizontal="right" textRotation="90"/>
    </xf>
    <xf numFmtId="14" fontId="3" fillId="0" borderId="10" xfId="0" applyNumberFormat="1" applyFont="1" applyBorder="1"/>
    <xf numFmtId="0" fontId="25" fillId="40" borderId="10" xfId="0" applyFont="1" applyFill="1" applyBorder="1" applyAlignment="1">
      <alignment horizontal="center"/>
    </xf>
    <xf numFmtId="0" fontId="25" fillId="41" borderId="10" xfId="0" applyFont="1" applyFill="1" applyBorder="1" applyAlignment="1">
      <alignment horizontal="left"/>
    </xf>
    <xf numFmtId="0" fontId="3" fillId="40" borderId="10" xfId="0" applyFont="1" applyFill="1" applyBorder="1"/>
    <xf numFmtId="0" fontId="3" fillId="42" borderId="10" xfId="0" applyFont="1" applyFill="1" applyBorder="1"/>
    <xf numFmtId="0" fontId="0" fillId="0" borderId="10" xfId="0" applyBorder="1" applyAlignment="1">
      <alignment horizontal="left"/>
    </xf>
    <xf numFmtId="0" fontId="0" fillId="43" borderId="10" xfId="0" applyFill="1" applyBorder="1"/>
    <xf numFmtId="0" fontId="3" fillId="43" borderId="10" xfId="0" applyFont="1" applyFill="1" applyBorder="1"/>
    <xf numFmtId="1" fontId="3" fillId="44" borderId="10" xfId="0" applyNumberFormat="1" applyFont="1" applyFill="1" applyBorder="1"/>
    <xf numFmtId="0" fontId="3" fillId="44" borderId="10" xfId="0" applyFont="1" applyFill="1" applyBorder="1"/>
    <xf numFmtId="2" fontId="3" fillId="45" borderId="10" xfId="0" applyNumberFormat="1" applyFont="1" applyFill="1" applyBorder="1"/>
    <xf numFmtId="0" fontId="25" fillId="3" borderId="10" xfId="0" applyFont="1" applyFill="1" applyBorder="1" applyAlignment="1">
      <alignment horizontal="right" textRotation="90"/>
    </xf>
    <xf numFmtId="0" fontId="5" fillId="0" borderId="10" xfId="0" applyFont="1" applyBorder="1" applyAlignment="1">
      <alignment horizontal="center"/>
    </xf>
    <xf numFmtId="0" fontId="26" fillId="8" borderId="10" xfId="0" applyFont="1" applyFill="1" applyBorder="1"/>
    <xf numFmtId="0" fontId="5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</cellXfs>
  <cellStyles count="72">
    <cellStyle name="20% - Accent1" xfId="25" builtinId="30" customBuiltin="1"/>
    <cellStyle name="20% - Accent1 2" xfId="53" xr:uid="{B2A8C31A-B39E-441F-B6CB-01FB2D8819F5}"/>
    <cellStyle name="20% - Accent2" xfId="29" builtinId="34" customBuiltin="1"/>
    <cellStyle name="20% - Accent2 2" xfId="56" xr:uid="{C3025B48-3756-4A95-A6ED-200E15661C65}"/>
    <cellStyle name="20% - Accent3" xfId="33" builtinId="38" customBuiltin="1"/>
    <cellStyle name="20% - Accent3 2" xfId="59" xr:uid="{3BBB6E1E-5928-4B9C-A7F1-3C42B8B54D1E}"/>
    <cellStyle name="20% - Accent4" xfId="37" builtinId="42" customBuiltin="1"/>
    <cellStyle name="20% - Accent4 2" xfId="62" xr:uid="{B52374AE-DDE9-4A4F-B48E-33265302239C}"/>
    <cellStyle name="20% - Accent5" xfId="41" builtinId="46" customBuiltin="1"/>
    <cellStyle name="20% - Accent5 2" xfId="65" xr:uid="{81F85708-8C60-46D7-BB72-8A87E12E5A47}"/>
    <cellStyle name="20% - Accent6" xfId="45" builtinId="50" customBuiltin="1"/>
    <cellStyle name="20% - Accent6 2" xfId="68" xr:uid="{EE0D0C88-82F7-4FE5-B890-4E932A63E962}"/>
    <cellStyle name="40% - Accent1" xfId="26" builtinId="31" customBuiltin="1"/>
    <cellStyle name="40% - Accent1 2" xfId="54" xr:uid="{914A038D-1CFB-4D2B-B286-979E61E87991}"/>
    <cellStyle name="40% - Accent2" xfId="30" builtinId="35" customBuiltin="1"/>
    <cellStyle name="40% - Accent2 2" xfId="57" xr:uid="{0B1BD301-CC45-4EF2-AA37-D765632EDB1C}"/>
    <cellStyle name="40% - Accent3" xfId="34" builtinId="39" customBuiltin="1"/>
    <cellStyle name="40% - Accent3 2" xfId="60" xr:uid="{875D57BD-0F49-4DB9-AFE8-841CB57E214F}"/>
    <cellStyle name="40% - Accent4" xfId="38" builtinId="43" customBuiltin="1"/>
    <cellStyle name="40% - Accent4 2" xfId="63" xr:uid="{3916F05C-B621-4A66-ADE8-EF1923BD7406}"/>
    <cellStyle name="40% - Accent5" xfId="42" builtinId="47" customBuiltin="1"/>
    <cellStyle name="40% - Accent5 2" xfId="66" xr:uid="{9486C474-7577-4C6C-9523-7BF5B15AC0F2}"/>
    <cellStyle name="40% - Accent6" xfId="46" builtinId="51" customBuiltin="1"/>
    <cellStyle name="40% - Accent6 2" xfId="69" xr:uid="{27838001-2856-4FD3-AE46-45DDCF379648}"/>
    <cellStyle name="60% - Accent1" xfId="27" builtinId="32" customBuiltin="1"/>
    <cellStyle name="60% - Accent1 2" xfId="55" xr:uid="{1E3C6408-A42D-45DC-AB3A-005C7686DAE9}"/>
    <cellStyle name="60% - Accent2" xfId="31" builtinId="36" customBuiltin="1"/>
    <cellStyle name="60% - Accent2 2" xfId="58" xr:uid="{ADCFFEC4-6BC7-4E5C-85F0-0EBEEBFC1092}"/>
    <cellStyle name="60% - Accent3" xfId="35" builtinId="40" customBuiltin="1"/>
    <cellStyle name="60% - Accent3 2" xfId="61" xr:uid="{95F0D1B9-CB15-48DA-9297-CB07DABC79B3}"/>
    <cellStyle name="60% - Accent4" xfId="39" builtinId="44" customBuiltin="1"/>
    <cellStyle name="60% - Accent4 2" xfId="64" xr:uid="{F25BEFAF-072F-4070-AF93-923B4ED6967A}"/>
    <cellStyle name="60% - Accent5" xfId="43" builtinId="48" customBuiltin="1"/>
    <cellStyle name="60% - Accent5 2" xfId="67" xr:uid="{E92D504F-FEA1-4526-924C-E20A3BE9A543}"/>
    <cellStyle name="60% - Accent6" xfId="47" builtinId="52" customBuiltin="1"/>
    <cellStyle name="60% - Accent6 2" xfId="70" xr:uid="{B9426D04-1440-4C4A-9162-901CA4A69E65}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Explanatory Text" xfId="22" builtinId="53" customBuiltin="1"/>
    <cellStyle name="Good" xfId="13" builtinId="26" customBuiltin="1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Hyperlink" xfId="1" builtinId="8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48" xr:uid="{1ADAC005-D520-4B68-B1D0-CA3E31D96574}"/>
    <cellStyle name="Normal 3" xfId="49" xr:uid="{C42D5048-A82F-4860-A9A0-DE8C2EF96565}"/>
    <cellStyle name="Normal 4" xfId="51" xr:uid="{18310799-6E2C-47BC-971B-AED4B7C8DC49}"/>
    <cellStyle name="Normal 5" xfId="71" xr:uid="{4D7E3123-9AA1-40B6-9EF8-2CB49EB85838}"/>
    <cellStyle name="Note 2" xfId="50" xr:uid="{5D91D25E-9CE5-49EB-A377-ED5467CF80DB}"/>
    <cellStyle name="Note 3" xfId="52" xr:uid="{0626776E-4485-4590-BCFD-2CD0AAE434B7}"/>
    <cellStyle name="Output" xfId="17" builtinId="21" customBuiltin="1"/>
    <cellStyle name="Pivot Table Category" xfId="2" xr:uid="{00000000-0005-0000-0000-000002000000}"/>
    <cellStyle name="Pivot Table Corner" xfId="3" xr:uid="{00000000-0005-0000-0000-000003000000}"/>
    <cellStyle name="Pivot Table Field" xfId="4" xr:uid="{00000000-0005-0000-0000-000004000000}"/>
    <cellStyle name="Pivot Table Result" xfId="5" xr:uid="{00000000-0005-0000-0000-000005000000}"/>
    <cellStyle name="Pivot Table Title" xfId="6" xr:uid="{00000000-0005-0000-0000-000006000000}"/>
    <cellStyle name="Pivot Table Value" xfId="7" xr:uid="{00000000-0005-0000-0000-000007000000}"/>
    <cellStyle name="Title" xfId="8" builtinId="15" customBuiltin="1"/>
    <cellStyle name="Total" xfId="23" builtinId="25" customBuiltin="1"/>
    <cellStyle name="Warning Text" xfId="21" builtinId="11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43"/>
  <sheetViews>
    <sheetView tabSelected="1" zoomScale="90" zoomScaleNormal="90" zoomScaleSheetLayoutView="70" zoomScalePageLayoutView="90" workbookViewId="0">
      <selection activeCell="V18" sqref="V18"/>
    </sheetView>
  </sheetViews>
  <sheetFormatPr defaultColWidth="8.42578125" defaultRowHeight="15" x14ac:dyDescent="0.25"/>
  <cols>
    <col min="1" max="1" width="33.140625" style="6" bestFit="1" customWidth="1"/>
    <col min="2" max="5" width="8.140625" style="6" bestFit="1" customWidth="1"/>
    <col min="6" max="10" width="6.7109375" style="6" bestFit="1" customWidth="1"/>
    <col min="11" max="11" width="8.140625" style="6" bestFit="1" customWidth="1"/>
    <col min="12" max="15" width="6.7109375" style="6" bestFit="1" customWidth="1"/>
    <col min="16" max="16" width="6.7109375" style="28" bestFit="1" customWidth="1"/>
    <col min="17" max="17" width="7.28515625" style="28" bestFit="1" customWidth="1"/>
    <col min="18" max="18" width="6.7109375" style="28" bestFit="1" customWidth="1"/>
    <col min="19" max="19" width="8.140625" style="28" bestFit="1" customWidth="1"/>
    <col min="20" max="20" width="6.7109375" style="28" bestFit="1" customWidth="1"/>
    <col min="21" max="21" width="8.42578125" style="28" bestFit="1" customWidth="1"/>
    <col min="22" max="22" width="8.140625" style="28" bestFit="1" customWidth="1"/>
    <col min="23" max="23" width="8.42578125" style="28" customWidth="1"/>
    <col min="24" max="24" width="8.140625" style="28" customWidth="1"/>
    <col min="25" max="25" width="6.7109375" style="6" bestFit="1" customWidth="1"/>
    <col min="26" max="26" width="7.7109375" style="6" bestFit="1" customWidth="1"/>
    <col min="27" max="27" width="38.28515625" style="6" bestFit="1" customWidth="1"/>
    <col min="28" max="28" width="9.42578125" style="6" bestFit="1" customWidth="1"/>
    <col min="29" max="29" width="7.42578125" style="6" bestFit="1" customWidth="1"/>
    <col min="30" max="30" width="12.42578125" style="8" bestFit="1" customWidth="1"/>
    <col min="31" max="31" width="6.42578125" style="6" customWidth="1"/>
    <col min="32" max="1027" width="8.42578125" style="6"/>
    <col min="1028" max="16384" width="8.42578125" style="5"/>
  </cols>
  <sheetData>
    <row r="1" spans="1:30" s="2" customFormat="1" ht="102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 t="s">
        <v>14</v>
      </c>
      <c r="P1" s="32" t="s">
        <v>15</v>
      </c>
      <c r="Q1" s="32" t="s">
        <v>74</v>
      </c>
      <c r="R1" s="32" t="s">
        <v>17</v>
      </c>
      <c r="S1" s="32" t="s">
        <v>18</v>
      </c>
      <c r="T1" s="32" t="s">
        <v>19</v>
      </c>
      <c r="U1" s="32" t="s">
        <v>20</v>
      </c>
      <c r="V1" s="32" t="s">
        <v>66</v>
      </c>
      <c r="W1" s="32" t="s">
        <v>70</v>
      </c>
      <c r="X1" s="32" t="s">
        <v>71</v>
      </c>
      <c r="Y1" s="32" t="s">
        <v>21</v>
      </c>
      <c r="Z1" s="32" t="s">
        <v>22</v>
      </c>
      <c r="AA1" s="1"/>
      <c r="AD1" s="3"/>
    </row>
    <row r="2" spans="1:30" ht="15" customHeight="1" x14ac:dyDescent="0.25">
      <c r="A2" s="26" t="s">
        <v>23</v>
      </c>
      <c r="B2" s="5">
        <v>9</v>
      </c>
      <c r="C2" s="5">
        <v>10</v>
      </c>
      <c r="D2" s="5">
        <v>9</v>
      </c>
      <c r="E2" s="5">
        <v>12</v>
      </c>
      <c r="F2" s="5">
        <v>11</v>
      </c>
      <c r="G2" s="5">
        <v>15</v>
      </c>
      <c r="H2" s="5">
        <v>11</v>
      </c>
      <c r="I2" s="5">
        <v>5</v>
      </c>
      <c r="J2" s="5">
        <v>16</v>
      </c>
      <c r="K2" s="5">
        <v>9</v>
      </c>
      <c r="L2" s="5">
        <v>17</v>
      </c>
      <c r="M2" s="5">
        <v>7</v>
      </c>
      <c r="N2" s="5">
        <v>4</v>
      </c>
      <c r="O2" s="5">
        <v>13</v>
      </c>
      <c r="P2" s="5">
        <v>39</v>
      </c>
      <c r="Q2" s="5"/>
      <c r="R2" s="5"/>
      <c r="S2" s="5"/>
      <c r="T2" s="5"/>
      <c r="U2" s="5">
        <v>36</v>
      </c>
      <c r="V2" s="5"/>
      <c r="W2" s="5"/>
      <c r="X2" s="5"/>
      <c r="Y2" s="6">
        <f t="shared" ref="Y2:Y21" si="0">SUM(B2:X2)</f>
        <v>223</v>
      </c>
      <c r="AA2" s="7" t="s">
        <v>24</v>
      </c>
      <c r="AB2" s="7" t="s">
        <v>25</v>
      </c>
      <c r="AC2" s="7" t="s">
        <v>26</v>
      </c>
      <c r="AD2" s="8" t="s">
        <v>27</v>
      </c>
    </row>
    <row r="3" spans="1:30" x14ac:dyDescent="0.25">
      <c r="A3" s="26" t="s">
        <v>28</v>
      </c>
      <c r="B3" s="5">
        <v>11</v>
      </c>
      <c r="C3" s="5">
        <v>14</v>
      </c>
      <c r="D3" s="5">
        <v>7</v>
      </c>
      <c r="E3" s="5">
        <v>9</v>
      </c>
      <c r="F3" s="5">
        <v>11</v>
      </c>
      <c r="G3" s="5">
        <v>12</v>
      </c>
      <c r="H3" s="5">
        <v>13</v>
      </c>
      <c r="I3" s="5">
        <v>8</v>
      </c>
      <c r="J3" s="5">
        <v>10</v>
      </c>
      <c r="K3" s="5">
        <v>11</v>
      </c>
      <c r="L3" s="5">
        <v>9</v>
      </c>
      <c r="M3" s="5">
        <v>9</v>
      </c>
      <c r="N3" s="5">
        <v>12</v>
      </c>
      <c r="O3" s="5">
        <v>8</v>
      </c>
      <c r="P3" s="5">
        <v>62</v>
      </c>
      <c r="Q3" s="5"/>
      <c r="R3" s="5"/>
      <c r="S3" s="5"/>
      <c r="T3" s="5"/>
      <c r="U3" s="5">
        <v>55</v>
      </c>
      <c r="V3" s="5"/>
      <c r="W3" s="5"/>
      <c r="X3" s="5"/>
      <c r="Y3" s="6">
        <f t="shared" si="0"/>
        <v>261</v>
      </c>
      <c r="AA3" s="6" t="s">
        <v>29</v>
      </c>
      <c r="AB3" s="6">
        <f>+B24</f>
        <v>39</v>
      </c>
      <c r="AC3" s="6">
        <f>B2+B3</f>
        <v>20</v>
      </c>
      <c r="AD3" s="8">
        <f t="shared" ref="AD3:AD11" si="1">+AC3/AB3*100</f>
        <v>51.282051282051277</v>
      </c>
    </row>
    <row r="4" spans="1:30" x14ac:dyDescent="0.25">
      <c r="A4" s="26" t="s">
        <v>30</v>
      </c>
      <c r="B4" s="5"/>
      <c r="C4" s="5">
        <v>14</v>
      </c>
      <c r="D4" s="5">
        <v>9</v>
      </c>
      <c r="E4" s="5">
        <v>9</v>
      </c>
      <c r="F4" s="5">
        <v>5</v>
      </c>
      <c r="G4" s="5">
        <v>11</v>
      </c>
      <c r="H4" s="5">
        <v>5</v>
      </c>
      <c r="I4" s="5">
        <v>14</v>
      </c>
      <c r="J4" s="5">
        <v>11</v>
      </c>
      <c r="K4" s="5">
        <v>8</v>
      </c>
      <c r="L4" s="5">
        <v>10</v>
      </c>
      <c r="M4" s="5">
        <v>5</v>
      </c>
      <c r="N4" s="5">
        <v>12</v>
      </c>
      <c r="O4" s="5">
        <v>15</v>
      </c>
      <c r="P4" s="5">
        <v>17</v>
      </c>
      <c r="Q4" s="5"/>
      <c r="R4" s="5"/>
      <c r="S4" s="5"/>
      <c r="T4" s="5"/>
      <c r="U4" s="5">
        <v>23</v>
      </c>
      <c r="V4" s="5"/>
      <c r="W4" s="5"/>
      <c r="X4" s="5"/>
      <c r="Y4" s="6">
        <f t="shared" si="0"/>
        <v>168</v>
      </c>
      <c r="AA4" s="6" t="s">
        <v>31</v>
      </c>
      <c r="AB4" s="6">
        <f>C24+D24+E24</f>
        <v>380</v>
      </c>
      <c r="AC4" s="6">
        <f>+C23+D23+E23+AB22</f>
        <v>173</v>
      </c>
      <c r="AD4" s="8">
        <f t="shared" si="1"/>
        <v>45.526315789473685</v>
      </c>
    </row>
    <row r="5" spans="1:30" x14ac:dyDescent="0.25">
      <c r="A5" s="26" t="s">
        <v>32</v>
      </c>
      <c r="B5" s="5"/>
      <c r="C5" s="5"/>
      <c r="D5" s="5">
        <v>6</v>
      </c>
      <c r="E5" s="5">
        <v>10</v>
      </c>
      <c r="F5" s="5">
        <v>8</v>
      </c>
      <c r="G5" s="5">
        <v>12</v>
      </c>
      <c r="H5" s="5">
        <v>12</v>
      </c>
      <c r="I5" s="5">
        <v>9</v>
      </c>
      <c r="J5" s="5">
        <v>10</v>
      </c>
      <c r="K5" s="5">
        <v>8</v>
      </c>
      <c r="L5" s="5">
        <v>11</v>
      </c>
      <c r="M5" s="5">
        <v>10</v>
      </c>
      <c r="N5" s="5">
        <v>14</v>
      </c>
      <c r="O5" s="5">
        <v>14</v>
      </c>
      <c r="P5" s="5">
        <v>16</v>
      </c>
      <c r="Q5" s="5"/>
      <c r="R5" s="5"/>
      <c r="S5" s="5"/>
      <c r="T5" s="5"/>
      <c r="U5" s="5">
        <v>17</v>
      </c>
      <c r="V5" s="5"/>
      <c r="W5" s="5"/>
      <c r="X5" s="5"/>
      <c r="Y5" s="6">
        <f t="shared" si="0"/>
        <v>157</v>
      </c>
      <c r="AA5" s="7" t="s">
        <v>33</v>
      </c>
      <c r="AB5" s="7">
        <f>AB4+AB3</f>
        <v>419</v>
      </c>
      <c r="AC5" s="7">
        <f>AC4+AC3</f>
        <v>193</v>
      </c>
      <c r="AD5" s="8">
        <f t="shared" si="1"/>
        <v>46.062052505966591</v>
      </c>
    </row>
    <row r="6" spans="1:30" ht="15" customHeight="1" x14ac:dyDescent="0.25">
      <c r="A6" s="26" t="s">
        <v>34</v>
      </c>
      <c r="B6" s="5"/>
      <c r="C6" s="5"/>
      <c r="D6" s="5">
        <v>8</v>
      </c>
      <c r="E6" s="5">
        <v>7</v>
      </c>
      <c r="F6" s="5">
        <v>9</v>
      </c>
      <c r="G6" s="5">
        <v>9</v>
      </c>
      <c r="H6" s="5">
        <v>11</v>
      </c>
      <c r="I6" s="5">
        <v>5</v>
      </c>
      <c r="J6" s="5">
        <v>13</v>
      </c>
      <c r="K6" s="5">
        <v>6</v>
      </c>
      <c r="L6" s="5">
        <v>11</v>
      </c>
      <c r="M6" s="5">
        <v>12</v>
      </c>
      <c r="N6" s="5">
        <v>12</v>
      </c>
      <c r="O6" s="5">
        <v>9</v>
      </c>
      <c r="P6" s="5">
        <v>7</v>
      </c>
      <c r="Q6" s="5"/>
      <c r="R6" s="5"/>
      <c r="S6" s="5"/>
      <c r="T6" s="5"/>
      <c r="U6" s="5">
        <v>13</v>
      </c>
      <c r="V6" s="5"/>
      <c r="W6" s="5"/>
      <c r="X6" s="5"/>
      <c r="Y6" s="6">
        <f t="shared" si="0"/>
        <v>132</v>
      </c>
      <c r="AA6" s="6" t="s">
        <v>35</v>
      </c>
      <c r="AB6" s="6">
        <f>F24+G24+H24</f>
        <v>798</v>
      </c>
      <c r="AC6" s="6">
        <f>+F23+G23+H23+AB23</f>
        <v>331</v>
      </c>
      <c r="AD6" s="8">
        <f t="shared" si="1"/>
        <v>41.478696741854634</v>
      </c>
    </row>
    <row r="7" spans="1:30" x14ac:dyDescent="0.25">
      <c r="A7" s="26" t="s">
        <v>36</v>
      </c>
      <c r="B7" s="5"/>
      <c r="C7" s="5"/>
      <c r="D7" s="5">
        <v>7</v>
      </c>
      <c r="E7" s="5">
        <v>9</v>
      </c>
      <c r="F7" s="5">
        <v>14</v>
      </c>
      <c r="G7" s="5">
        <v>13</v>
      </c>
      <c r="H7" s="5">
        <v>8</v>
      </c>
      <c r="I7" s="5">
        <v>10</v>
      </c>
      <c r="J7" s="5">
        <v>17</v>
      </c>
      <c r="K7" s="5">
        <v>8</v>
      </c>
      <c r="L7" s="5">
        <v>15</v>
      </c>
      <c r="M7" s="5">
        <v>11</v>
      </c>
      <c r="N7" s="5">
        <v>12</v>
      </c>
      <c r="O7" s="5">
        <v>10</v>
      </c>
      <c r="P7" s="5">
        <v>9</v>
      </c>
      <c r="Q7" s="5"/>
      <c r="R7" s="5"/>
      <c r="S7" s="5"/>
      <c r="T7" s="5"/>
      <c r="U7" s="5">
        <v>24</v>
      </c>
      <c r="V7" s="5"/>
      <c r="W7" s="5"/>
      <c r="X7" s="5"/>
      <c r="Y7" s="6">
        <f t="shared" si="0"/>
        <v>167</v>
      </c>
      <c r="AA7" s="6" t="s">
        <v>37</v>
      </c>
      <c r="AB7" s="6">
        <f>I24+J24</f>
        <v>601</v>
      </c>
      <c r="AC7" s="6">
        <f>I23+J23</f>
        <v>235</v>
      </c>
      <c r="AD7" s="8">
        <f t="shared" si="1"/>
        <v>39.101497504159731</v>
      </c>
    </row>
    <row r="8" spans="1:30" x14ac:dyDescent="0.25">
      <c r="A8" s="26" t="s">
        <v>38</v>
      </c>
      <c r="B8" s="5"/>
      <c r="C8" s="5"/>
      <c r="D8" s="5">
        <v>7</v>
      </c>
      <c r="E8" s="5">
        <v>11</v>
      </c>
      <c r="F8" s="5">
        <v>10</v>
      </c>
      <c r="G8" s="5">
        <v>7</v>
      </c>
      <c r="H8" s="5">
        <v>5</v>
      </c>
      <c r="I8" s="5">
        <v>5</v>
      </c>
      <c r="J8" s="5">
        <v>14</v>
      </c>
      <c r="K8" s="5">
        <v>11</v>
      </c>
      <c r="L8" s="5">
        <v>8</v>
      </c>
      <c r="M8" s="5">
        <v>8</v>
      </c>
      <c r="N8" s="5">
        <v>11</v>
      </c>
      <c r="O8" s="5">
        <v>15</v>
      </c>
      <c r="P8" s="5">
        <v>13</v>
      </c>
      <c r="Q8" s="5"/>
      <c r="R8" s="5"/>
      <c r="S8" s="5"/>
      <c r="T8" s="5"/>
      <c r="U8" s="5">
        <v>13</v>
      </c>
      <c r="V8" s="5"/>
      <c r="W8" s="5"/>
      <c r="X8" s="5"/>
      <c r="Y8" s="6">
        <f t="shared" si="0"/>
        <v>138</v>
      </c>
      <c r="AA8" s="6" t="s">
        <v>39</v>
      </c>
      <c r="AB8" s="6">
        <f>K24+L24+M24</f>
        <v>972</v>
      </c>
      <c r="AC8" s="6">
        <f>K23+L23+M23</f>
        <v>353</v>
      </c>
      <c r="AD8" s="8">
        <f t="shared" si="1"/>
        <v>36.31687242798354</v>
      </c>
    </row>
    <row r="9" spans="1:30" x14ac:dyDescent="0.25">
      <c r="A9" s="26" t="s">
        <v>40</v>
      </c>
      <c r="B9" s="5"/>
      <c r="C9" s="5"/>
      <c r="D9" s="5"/>
      <c r="E9" s="5">
        <v>9</v>
      </c>
      <c r="F9" s="5">
        <v>10</v>
      </c>
      <c r="G9" s="5">
        <v>5</v>
      </c>
      <c r="H9" s="5">
        <v>13</v>
      </c>
      <c r="I9" s="5">
        <v>11</v>
      </c>
      <c r="J9" s="5">
        <v>9</v>
      </c>
      <c r="K9" s="5">
        <v>11</v>
      </c>
      <c r="L9" s="5">
        <v>8</v>
      </c>
      <c r="M9" s="5">
        <v>7</v>
      </c>
      <c r="N9" s="5">
        <v>12</v>
      </c>
      <c r="O9" s="5">
        <v>11</v>
      </c>
      <c r="P9" s="5">
        <v>26</v>
      </c>
      <c r="Q9" s="5"/>
      <c r="R9" s="5"/>
      <c r="S9" s="5"/>
      <c r="T9" s="5"/>
      <c r="U9" s="5">
        <v>9</v>
      </c>
      <c r="V9" s="5"/>
      <c r="W9" s="5"/>
      <c r="X9" s="5"/>
      <c r="Y9" s="6">
        <f t="shared" si="0"/>
        <v>141</v>
      </c>
      <c r="AA9" s="6" t="s">
        <v>41</v>
      </c>
      <c r="AB9" s="6">
        <f>N24+O24</f>
        <v>698</v>
      </c>
      <c r="AC9" s="6">
        <f>+N23+O23+AB25</f>
        <v>273</v>
      </c>
      <c r="AD9" s="8">
        <f t="shared" si="1"/>
        <v>39.111747851002868</v>
      </c>
    </row>
    <row r="10" spans="1:30" x14ac:dyDescent="0.25">
      <c r="A10" s="26" t="s">
        <v>5</v>
      </c>
      <c r="B10" s="5"/>
      <c r="C10" s="5"/>
      <c r="D10" s="5"/>
      <c r="E10" s="5">
        <v>6</v>
      </c>
      <c r="F10" s="5">
        <v>11</v>
      </c>
      <c r="G10" s="5">
        <v>7</v>
      </c>
      <c r="H10" s="5">
        <v>12</v>
      </c>
      <c r="I10" s="5">
        <v>8</v>
      </c>
      <c r="J10" s="5">
        <v>11</v>
      </c>
      <c r="K10" s="5">
        <v>6</v>
      </c>
      <c r="L10" s="5">
        <v>13</v>
      </c>
      <c r="M10" s="5">
        <v>8</v>
      </c>
      <c r="N10" s="5">
        <v>11</v>
      </c>
      <c r="O10" s="5">
        <v>14</v>
      </c>
      <c r="P10" s="5">
        <v>16</v>
      </c>
      <c r="Q10" s="5"/>
      <c r="R10" s="5"/>
      <c r="S10" s="5"/>
      <c r="T10" s="5"/>
      <c r="U10" s="5">
        <v>7</v>
      </c>
      <c r="V10" s="5"/>
      <c r="W10" s="5"/>
      <c r="X10" s="5"/>
      <c r="Y10" s="6">
        <f t="shared" si="0"/>
        <v>130</v>
      </c>
      <c r="AA10" s="7" t="s">
        <v>33</v>
      </c>
      <c r="AB10" s="7">
        <f>SUM(AB6:AB9)+AB5</f>
        <v>3488</v>
      </c>
      <c r="AC10" s="7">
        <f>SUM(AC6:AC9)+AC5</f>
        <v>1385</v>
      </c>
      <c r="AD10" s="8">
        <f t="shared" si="1"/>
        <v>39.707568807339449</v>
      </c>
    </row>
    <row r="11" spans="1:30" ht="15" customHeight="1" x14ac:dyDescent="0.25">
      <c r="A11" s="26" t="s">
        <v>42</v>
      </c>
      <c r="B11" s="5"/>
      <c r="C11" s="5"/>
      <c r="D11" s="5"/>
      <c r="E11" s="5"/>
      <c r="F11" s="5">
        <v>12</v>
      </c>
      <c r="G11" s="5">
        <v>5</v>
      </c>
      <c r="H11" s="5">
        <v>9</v>
      </c>
      <c r="I11" s="5">
        <v>7</v>
      </c>
      <c r="J11" s="5">
        <v>11</v>
      </c>
      <c r="K11" s="5">
        <v>13</v>
      </c>
      <c r="L11" s="5">
        <v>11</v>
      </c>
      <c r="M11" s="5">
        <v>13</v>
      </c>
      <c r="N11" s="5">
        <v>13</v>
      </c>
      <c r="O11" s="5">
        <v>13</v>
      </c>
      <c r="P11" s="5"/>
      <c r="Q11" s="5">
        <v>7</v>
      </c>
      <c r="R11" s="5"/>
      <c r="S11" s="5">
        <v>8</v>
      </c>
      <c r="T11" s="5"/>
      <c r="U11" s="5"/>
      <c r="V11" s="5"/>
      <c r="W11" s="5"/>
      <c r="X11" s="5"/>
      <c r="Y11" s="6">
        <f t="shared" si="0"/>
        <v>122</v>
      </c>
      <c r="AA11" s="6" t="s">
        <v>43</v>
      </c>
      <c r="AB11" s="6">
        <f>P24+Q24+V24+R24</f>
        <v>635</v>
      </c>
      <c r="AC11" s="6">
        <f>+P23+Q23+R23+AB26+V23</f>
        <v>271</v>
      </c>
      <c r="AD11" s="8">
        <f t="shared" si="1"/>
        <v>42.677165354330711</v>
      </c>
    </row>
    <row r="12" spans="1:30" x14ac:dyDescent="0.25">
      <c r="A12" s="26" t="s">
        <v>44</v>
      </c>
      <c r="B12" s="5"/>
      <c r="C12" s="5"/>
      <c r="D12" s="5"/>
      <c r="E12" s="5"/>
      <c r="F12" s="5">
        <v>10</v>
      </c>
      <c r="G12" s="5">
        <v>7</v>
      </c>
      <c r="H12" s="5">
        <v>9</v>
      </c>
      <c r="I12" s="5"/>
      <c r="J12" s="5"/>
      <c r="K12" s="5">
        <v>14</v>
      </c>
      <c r="L12" s="5">
        <v>11</v>
      </c>
      <c r="M12" s="5">
        <v>12</v>
      </c>
      <c r="N12" s="5">
        <v>10</v>
      </c>
      <c r="O12" s="5">
        <v>22</v>
      </c>
      <c r="P12" s="5"/>
      <c r="Q12" s="5">
        <v>7</v>
      </c>
      <c r="R12" s="5"/>
      <c r="S12" s="5">
        <v>10</v>
      </c>
      <c r="T12" s="5"/>
      <c r="U12" s="5"/>
      <c r="V12" s="5"/>
      <c r="W12" s="5"/>
      <c r="X12" s="5"/>
      <c r="Y12" s="6">
        <f t="shared" si="0"/>
        <v>112</v>
      </c>
      <c r="AA12" s="7" t="s">
        <v>33</v>
      </c>
      <c r="AB12" s="7">
        <f>AB10+AB11</f>
        <v>4123</v>
      </c>
      <c r="AC12" s="7">
        <f>AC10+AC11</f>
        <v>1656</v>
      </c>
      <c r="AD12" s="8">
        <f t="shared" ref="AD12:AD17" si="2">AC12/AB12*100</f>
        <v>40.164928450157653</v>
      </c>
    </row>
    <row r="13" spans="1:30" x14ac:dyDescent="0.25">
      <c r="A13" s="26" t="s">
        <v>45</v>
      </c>
      <c r="B13" s="5"/>
      <c r="C13" s="5"/>
      <c r="D13" s="5"/>
      <c r="E13" s="5"/>
      <c r="F13" s="5"/>
      <c r="G13" s="5">
        <v>9</v>
      </c>
      <c r="H13" s="5"/>
      <c r="I13" s="5"/>
      <c r="J13" s="5"/>
      <c r="K13" s="5"/>
      <c r="L13" s="5"/>
      <c r="M13" s="5"/>
      <c r="N13" s="5"/>
      <c r="O13" s="5"/>
      <c r="P13" s="5"/>
      <c r="Q13" s="5">
        <v>15</v>
      </c>
      <c r="R13" s="5"/>
      <c r="S13" s="5">
        <v>10</v>
      </c>
      <c r="T13" s="5"/>
      <c r="U13" s="5"/>
      <c r="V13" s="5"/>
      <c r="W13" s="5"/>
      <c r="X13" s="5"/>
      <c r="Y13" s="6">
        <f t="shared" si="0"/>
        <v>34</v>
      </c>
      <c r="AA13" s="6" t="s">
        <v>46</v>
      </c>
      <c r="AB13" s="9">
        <f>X24+W24+U24+T24+S24</f>
        <v>576</v>
      </c>
      <c r="AC13" s="6">
        <f>S23+T23+U23+X23+W23</f>
        <v>245</v>
      </c>
      <c r="AD13" s="8">
        <f t="shared" si="2"/>
        <v>42.534722222222221</v>
      </c>
    </row>
    <row r="14" spans="1:30" x14ac:dyDescent="0.25">
      <c r="A14" s="26" t="s">
        <v>47</v>
      </c>
      <c r="B14" s="5"/>
      <c r="C14" s="5"/>
      <c r="D14" s="5"/>
      <c r="E14" s="5"/>
      <c r="F14" s="5"/>
      <c r="G14" s="5"/>
      <c r="H14" s="5"/>
      <c r="I14" s="5">
        <v>8</v>
      </c>
      <c r="J14" s="5">
        <v>15</v>
      </c>
      <c r="K14" s="5">
        <v>7</v>
      </c>
      <c r="L14" s="5">
        <v>6</v>
      </c>
      <c r="M14" s="5">
        <v>9</v>
      </c>
      <c r="N14" s="5">
        <v>3</v>
      </c>
      <c r="O14" s="5">
        <v>3</v>
      </c>
      <c r="P14" s="5"/>
      <c r="Q14" s="5">
        <v>5</v>
      </c>
      <c r="R14" s="5"/>
      <c r="S14" s="5">
        <v>3</v>
      </c>
      <c r="T14" s="5"/>
      <c r="U14" s="5"/>
      <c r="V14" s="5"/>
      <c r="W14" s="5"/>
      <c r="X14" s="5"/>
      <c r="Y14" s="6">
        <f t="shared" si="0"/>
        <v>59</v>
      </c>
      <c r="AA14" s="7" t="s">
        <v>33</v>
      </c>
      <c r="AB14" s="10">
        <f>AB12+AB13</f>
        <v>4699</v>
      </c>
      <c r="AC14" s="7">
        <f>SUM(AC12:AC13)</f>
        <v>1901</v>
      </c>
      <c r="AD14" s="8">
        <f t="shared" si="2"/>
        <v>40.455416045967226</v>
      </c>
    </row>
    <row r="15" spans="1:30" x14ac:dyDescent="0.25">
      <c r="A15" s="26" t="s">
        <v>69</v>
      </c>
      <c r="D15" s="5"/>
      <c r="E15" s="5"/>
      <c r="F15" s="5"/>
      <c r="G15" s="5"/>
      <c r="H15" s="5"/>
      <c r="I15" s="5">
        <v>8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6">
        <f t="shared" si="0"/>
        <v>8</v>
      </c>
      <c r="AA15" s="6" t="s">
        <v>48</v>
      </c>
      <c r="AB15" s="29">
        <f>AB14-P24-Q24-V24</f>
        <v>4127</v>
      </c>
      <c r="AC15" s="30">
        <f>AC14-P23-Q23-R23-V23</f>
        <v>1630</v>
      </c>
      <c r="AD15" s="31">
        <f t="shared" si="2"/>
        <v>39.496001938454086</v>
      </c>
    </row>
    <row r="16" spans="1:30" ht="13.9" customHeight="1" x14ac:dyDescent="0.25">
      <c r="A16" s="4" t="s">
        <v>49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15</v>
      </c>
      <c r="S16" s="5"/>
      <c r="T16" s="5">
        <v>9</v>
      </c>
      <c r="U16" s="5"/>
      <c r="V16" s="5"/>
      <c r="W16" s="5"/>
      <c r="X16" s="5"/>
      <c r="Y16" s="6">
        <f t="shared" si="0"/>
        <v>24</v>
      </c>
      <c r="AA16" s="7" t="s">
        <v>33</v>
      </c>
      <c r="AB16" s="10">
        <f>AB14</f>
        <v>4699</v>
      </c>
      <c r="AC16" s="7">
        <f>AC14</f>
        <v>1901</v>
      </c>
      <c r="AD16" s="8">
        <f t="shared" si="2"/>
        <v>40.455416045967226</v>
      </c>
    </row>
    <row r="17" spans="1:30" x14ac:dyDescent="0.25">
      <c r="A17" s="4" t="s">
        <v>50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27"/>
      <c r="Q17" s="5"/>
      <c r="R17" s="5">
        <v>13</v>
      </c>
      <c r="S17" s="5"/>
      <c r="T17" s="5">
        <v>5</v>
      </c>
      <c r="U17" s="5"/>
      <c r="V17" s="5"/>
      <c r="W17" s="5"/>
      <c r="X17" s="5"/>
      <c r="Y17" s="6">
        <f t="shared" si="0"/>
        <v>18</v>
      </c>
      <c r="AA17" s="11" t="s">
        <v>68</v>
      </c>
      <c r="AB17" s="12">
        <f>AB16</f>
        <v>4699</v>
      </c>
      <c r="AC17" s="12">
        <f>AC16+Z27</f>
        <v>1901</v>
      </c>
      <c r="AD17" s="13">
        <f t="shared" si="2"/>
        <v>40.455416045967226</v>
      </c>
    </row>
    <row r="18" spans="1:30" x14ac:dyDescent="0.25">
      <c r="A18" s="4" t="s">
        <v>51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27"/>
      <c r="Q18" s="5"/>
      <c r="R18" s="5"/>
      <c r="S18" s="5"/>
      <c r="T18" s="5"/>
      <c r="U18" s="27"/>
      <c r="V18" s="5">
        <v>4</v>
      </c>
      <c r="W18" s="5"/>
      <c r="X18" s="5">
        <v>2</v>
      </c>
      <c r="Y18" s="6">
        <f t="shared" si="0"/>
        <v>6</v>
      </c>
      <c r="AA18" s="14"/>
      <c r="AB18" s="12"/>
      <c r="AC18" s="11"/>
    </row>
    <row r="19" spans="1:30" x14ac:dyDescent="0.25">
      <c r="A19" s="4" t="s">
        <v>52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27"/>
      <c r="Q19" s="5"/>
      <c r="R19" s="5"/>
      <c r="S19" s="5"/>
      <c r="T19" s="5"/>
      <c r="U19" s="27"/>
      <c r="V19" s="5"/>
      <c r="W19" s="5">
        <v>1</v>
      </c>
      <c r="X19" s="5"/>
      <c r="Y19" s="6">
        <f t="shared" si="0"/>
        <v>1</v>
      </c>
      <c r="AA19" s="35"/>
      <c r="AB19" s="35"/>
      <c r="AC19" s="35"/>
      <c r="AD19" s="35"/>
    </row>
    <row r="20" spans="1:30" x14ac:dyDescent="0.25">
      <c r="A20" s="4" t="s">
        <v>75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27"/>
      <c r="Q20" s="5"/>
      <c r="R20" s="5"/>
      <c r="S20" s="5"/>
      <c r="T20" s="27"/>
      <c r="U20" s="27"/>
      <c r="V20" s="5"/>
      <c r="W20" s="5"/>
      <c r="X20" s="5"/>
      <c r="Y20" s="6">
        <f t="shared" si="0"/>
        <v>0</v>
      </c>
      <c r="AA20" s="33"/>
      <c r="AB20" s="33"/>
      <c r="AC20" s="33"/>
      <c r="AD20" s="33"/>
    </row>
    <row r="21" spans="1:30" x14ac:dyDescent="0.25">
      <c r="A21" s="4" t="s">
        <v>9</v>
      </c>
      <c r="F21" s="5"/>
      <c r="G21" s="5"/>
      <c r="H21" s="5"/>
      <c r="I21" s="5"/>
      <c r="J21" s="5"/>
      <c r="K21" s="5"/>
      <c r="L21" s="5"/>
      <c r="M21" s="5"/>
      <c r="O21" s="5"/>
      <c r="P21" s="27"/>
      <c r="U21" s="27"/>
      <c r="V21" s="27"/>
      <c r="W21" s="5"/>
      <c r="X21" s="27"/>
      <c r="Y21" s="6">
        <f t="shared" si="0"/>
        <v>0</v>
      </c>
      <c r="AA21" s="7"/>
      <c r="AB21" s="7"/>
      <c r="AC21" s="7"/>
    </row>
    <row r="22" spans="1:30" x14ac:dyDescent="0.25">
      <c r="A22" s="4" t="s">
        <v>53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</row>
    <row r="23" spans="1:30" x14ac:dyDescent="0.25">
      <c r="A23" s="16" t="s">
        <v>54</v>
      </c>
      <c r="B23" s="7">
        <f t="shared" ref="B23:W23" si="3">SUM(B2:B22)</f>
        <v>20</v>
      </c>
      <c r="C23" s="7">
        <f t="shared" si="3"/>
        <v>38</v>
      </c>
      <c r="D23" s="7">
        <f t="shared" si="3"/>
        <v>53</v>
      </c>
      <c r="E23" s="7">
        <f t="shared" si="3"/>
        <v>82</v>
      </c>
      <c r="F23" s="7">
        <f t="shared" si="3"/>
        <v>111</v>
      </c>
      <c r="G23" s="7">
        <f t="shared" si="3"/>
        <v>112</v>
      </c>
      <c r="H23" s="7">
        <f t="shared" si="3"/>
        <v>108</v>
      </c>
      <c r="I23" s="7">
        <f t="shared" si="3"/>
        <v>98</v>
      </c>
      <c r="J23" s="7">
        <f t="shared" si="3"/>
        <v>137</v>
      </c>
      <c r="K23" s="7">
        <f t="shared" si="3"/>
        <v>112</v>
      </c>
      <c r="L23" s="7">
        <f t="shared" si="3"/>
        <v>130</v>
      </c>
      <c r="M23" s="7">
        <f t="shared" si="3"/>
        <v>111</v>
      </c>
      <c r="N23" s="7">
        <f t="shared" si="3"/>
        <v>126</v>
      </c>
      <c r="O23" s="7">
        <f t="shared" si="3"/>
        <v>147</v>
      </c>
      <c r="P23" s="7">
        <f t="shared" si="3"/>
        <v>205</v>
      </c>
      <c r="Q23" s="7">
        <f t="shared" si="3"/>
        <v>34</v>
      </c>
      <c r="R23" s="7">
        <f t="shared" si="3"/>
        <v>28</v>
      </c>
      <c r="S23" s="7">
        <f t="shared" si="3"/>
        <v>31</v>
      </c>
      <c r="T23" s="7">
        <f t="shared" si="3"/>
        <v>14</v>
      </c>
      <c r="U23" s="7">
        <f t="shared" si="3"/>
        <v>197</v>
      </c>
      <c r="V23" s="7">
        <f t="shared" si="3"/>
        <v>4</v>
      </c>
      <c r="W23" s="7">
        <f t="shared" si="3"/>
        <v>1</v>
      </c>
      <c r="X23" s="7">
        <f>SUM(X2:X21)</f>
        <v>2</v>
      </c>
      <c r="Y23" s="7">
        <f t="shared" ref="Y23" si="4">SUM(Y2:Y22)</f>
        <v>1901</v>
      </c>
      <c r="Z23" s="22" t="s">
        <v>67</v>
      </c>
      <c r="AA23" s="23"/>
    </row>
    <row r="24" spans="1:30" x14ac:dyDescent="0.25">
      <c r="A24" s="16" t="s">
        <v>55</v>
      </c>
      <c r="B24" s="34">
        <v>39</v>
      </c>
      <c r="C24" s="34">
        <v>88</v>
      </c>
      <c r="D24" s="34">
        <v>116</v>
      </c>
      <c r="E24" s="34">
        <v>176</v>
      </c>
      <c r="F24" s="34">
        <v>244</v>
      </c>
      <c r="G24" s="34">
        <v>279</v>
      </c>
      <c r="H24" s="34">
        <v>275</v>
      </c>
      <c r="I24" s="34">
        <v>275</v>
      </c>
      <c r="J24" s="34">
        <v>326</v>
      </c>
      <c r="K24" s="34">
        <v>309</v>
      </c>
      <c r="L24" s="34">
        <v>335</v>
      </c>
      <c r="M24" s="34">
        <v>328</v>
      </c>
      <c r="N24" s="34">
        <v>347</v>
      </c>
      <c r="O24" s="34">
        <v>351</v>
      </c>
      <c r="P24" s="34">
        <v>434</v>
      </c>
      <c r="Q24" s="34">
        <v>127</v>
      </c>
      <c r="R24" s="34">
        <v>63</v>
      </c>
      <c r="S24" s="34">
        <v>126</v>
      </c>
      <c r="T24" s="34">
        <v>61</v>
      </c>
      <c r="U24" s="34">
        <v>378</v>
      </c>
      <c r="V24" s="34">
        <v>11</v>
      </c>
      <c r="W24" s="34">
        <v>6</v>
      </c>
      <c r="X24" s="34">
        <v>5</v>
      </c>
      <c r="Y24" s="25">
        <f>SUM(B24:X24)</f>
        <v>4699</v>
      </c>
      <c r="Z24" s="22">
        <f>Y24-Y29</f>
        <v>4633</v>
      </c>
    </row>
    <row r="25" spans="1:30" x14ac:dyDescent="0.25">
      <c r="A25" s="16" t="s">
        <v>56</v>
      </c>
      <c r="B25" s="17">
        <f t="shared" ref="B25:X25" si="5">+B23/B24*100</f>
        <v>51.282051282051277</v>
      </c>
      <c r="C25" s="17">
        <f t="shared" si="5"/>
        <v>43.18181818181818</v>
      </c>
      <c r="D25" s="17">
        <f t="shared" si="5"/>
        <v>45.689655172413794</v>
      </c>
      <c r="E25" s="17">
        <f t="shared" si="5"/>
        <v>46.590909090909086</v>
      </c>
      <c r="F25" s="17">
        <f t="shared" si="5"/>
        <v>45.491803278688522</v>
      </c>
      <c r="G25" s="17">
        <f t="shared" si="5"/>
        <v>40.143369175627242</v>
      </c>
      <c r="H25" s="17">
        <f t="shared" si="5"/>
        <v>39.272727272727273</v>
      </c>
      <c r="I25" s="17">
        <f t="shared" si="5"/>
        <v>35.63636363636364</v>
      </c>
      <c r="J25" s="17">
        <f t="shared" si="5"/>
        <v>42.024539877300612</v>
      </c>
      <c r="K25" s="17">
        <f t="shared" si="5"/>
        <v>36.245954692556637</v>
      </c>
      <c r="L25" s="17">
        <f t="shared" si="5"/>
        <v>38.805970149253731</v>
      </c>
      <c r="M25" s="17">
        <f t="shared" si="5"/>
        <v>33.841463414634148</v>
      </c>
      <c r="N25" s="17">
        <f t="shared" si="5"/>
        <v>36.311239193083573</v>
      </c>
      <c r="O25" s="17">
        <f t="shared" si="5"/>
        <v>41.880341880341881</v>
      </c>
      <c r="P25" s="7">
        <f>+P23/P24*100</f>
        <v>47.235023041474655</v>
      </c>
      <c r="Q25" s="7">
        <f>+Q23/Q24*100</f>
        <v>26.771653543307089</v>
      </c>
      <c r="R25" s="7">
        <f>+R23/R24*100</f>
        <v>44.444444444444443</v>
      </c>
      <c r="S25" s="7">
        <f t="shared" si="5"/>
        <v>24.603174603174601</v>
      </c>
      <c r="T25" s="7">
        <f t="shared" si="5"/>
        <v>22.950819672131146</v>
      </c>
      <c r="U25" s="17">
        <f t="shared" si="5"/>
        <v>52.116402116402114</v>
      </c>
      <c r="V25" s="17">
        <f t="shared" si="5"/>
        <v>36.363636363636367</v>
      </c>
      <c r="W25" s="17">
        <f t="shared" si="5"/>
        <v>16.666666666666664</v>
      </c>
      <c r="X25" s="7">
        <f t="shared" si="5"/>
        <v>40</v>
      </c>
      <c r="Y25" s="17">
        <f>Y23/Y24*100</f>
        <v>40.455416045967226</v>
      </c>
      <c r="Z25" s="28"/>
      <c r="AA25" s="28"/>
    </row>
    <row r="26" spans="1:30" x14ac:dyDescent="0.25">
      <c r="A26" s="16" t="s">
        <v>57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4494</v>
      </c>
    </row>
    <row r="27" spans="1:30" x14ac:dyDescent="0.25">
      <c r="A27" s="6" t="s">
        <v>58</v>
      </c>
      <c r="B27" s="6">
        <f t="shared" ref="B27:X27" si="6">B23-B26</f>
        <v>20</v>
      </c>
      <c r="C27" s="6">
        <f t="shared" si="6"/>
        <v>38</v>
      </c>
      <c r="D27" s="6">
        <f t="shared" si="6"/>
        <v>53</v>
      </c>
      <c r="E27" s="6">
        <f t="shared" si="6"/>
        <v>82</v>
      </c>
      <c r="F27" s="6">
        <f t="shared" si="6"/>
        <v>111</v>
      </c>
      <c r="G27" s="6">
        <f t="shared" si="6"/>
        <v>112</v>
      </c>
      <c r="H27" s="6">
        <f t="shared" si="6"/>
        <v>108</v>
      </c>
      <c r="I27" s="6">
        <f t="shared" si="6"/>
        <v>98</v>
      </c>
      <c r="J27" s="6">
        <f t="shared" si="6"/>
        <v>137</v>
      </c>
      <c r="K27" s="6">
        <f t="shared" si="6"/>
        <v>112</v>
      </c>
      <c r="L27" s="6">
        <f t="shared" si="6"/>
        <v>130</v>
      </c>
      <c r="M27" s="6">
        <f t="shared" si="6"/>
        <v>111</v>
      </c>
      <c r="N27" s="6">
        <f t="shared" si="6"/>
        <v>126</v>
      </c>
      <c r="O27" s="6">
        <f t="shared" si="6"/>
        <v>147</v>
      </c>
      <c r="P27" s="28">
        <f t="shared" si="6"/>
        <v>205</v>
      </c>
      <c r="Q27" s="28">
        <f t="shared" si="6"/>
        <v>34</v>
      </c>
      <c r="R27" s="28">
        <f t="shared" si="6"/>
        <v>28</v>
      </c>
      <c r="S27" s="28">
        <f t="shared" si="6"/>
        <v>31</v>
      </c>
      <c r="T27" s="28">
        <f t="shared" si="6"/>
        <v>14</v>
      </c>
      <c r="U27" s="28">
        <f t="shared" si="6"/>
        <v>197</v>
      </c>
      <c r="V27" s="28">
        <f t="shared" si="6"/>
        <v>4</v>
      </c>
      <c r="W27" s="28">
        <f t="shared" si="6"/>
        <v>1</v>
      </c>
      <c r="X27" s="28">
        <f t="shared" si="6"/>
        <v>2</v>
      </c>
      <c r="Y27" s="6">
        <f>SUM(B27:V27)</f>
        <v>1898</v>
      </c>
      <c r="Z27" s="18"/>
    </row>
    <row r="28" spans="1:30" x14ac:dyDescent="0.25">
      <c r="A28" s="19" t="s">
        <v>59</v>
      </c>
      <c r="B28" s="19">
        <f t="shared" ref="B28:X28" si="7">B24-B23</f>
        <v>19</v>
      </c>
      <c r="C28" s="19">
        <f t="shared" si="7"/>
        <v>50</v>
      </c>
      <c r="D28" s="19">
        <f t="shared" si="7"/>
        <v>63</v>
      </c>
      <c r="E28" s="19">
        <f t="shared" si="7"/>
        <v>94</v>
      </c>
      <c r="F28" s="19">
        <f t="shared" si="7"/>
        <v>133</v>
      </c>
      <c r="G28" s="19">
        <f t="shared" si="7"/>
        <v>167</v>
      </c>
      <c r="H28" s="19">
        <f t="shared" si="7"/>
        <v>167</v>
      </c>
      <c r="I28" s="19">
        <f t="shared" si="7"/>
        <v>177</v>
      </c>
      <c r="J28" s="19">
        <f t="shared" si="7"/>
        <v>189</v>
      </c>
      <c r="K28" s="19">
        <f t="shared" si="7"/>
        <v>197</v>
      </c>
      <c r="L28" s="19">
        <f t="shared" si="7"/>
        <v>205</v>
      </c>
      <c r="M28" s="19">
        <f t="shared" si="7"/>
        <v>217</v>
      </c>
      <c r="N28" s="19">
        <f t="shared" si="7"/>
        <v>221</v>
      </c>
      <c r="O28" s="19">
        <f t="shared" si="7"/>
        <v>204</v>
      </c>
      <c r="P28" s="19">
        <f>P24-P23</f>
        <v>229</v>
      </c>
      <c r="Q28" s="19">
        <f>Q24-Q23</f>
        <v>93</v>
      </c>
      <c r="R28" s="19">
        <f>R24-R23</f>
        <v>35</v>
      </c>
      <c r="S28" s="19">
        <f t="shared" si="7"/>
        <v>95</v>
      </c>
      <c r="T28" s="19">
        <f t="shared" si="7"/>
        <v>47</v>
      </c>
      <c r="U28" s="19">
        <f t="shared" si="7"/>
        <v>181</v>
      </c>
      <c r="V28" s="19">
        <f t="shared" si="7"/>
        <v>7</v>
      </c>
      <c r="W28" s="19">
        <f t="shared" si="7"/>
        <v>5</v>
      </c>
      <c r="X28" s="19">
        <f t="shared" si="7"/>
        <v>3</v>
      </c>
      <c r="Y28" s="19">
        <f>Y24-Y23-Z27</f>
        <v>2798</v>
      </c>
      <c r="Z28" s="24"/>
      <c r="AA28" s="25"/>
      <c r="AB28" s="7"/>
      <c r="AC28" s="7"/>
    </row>
    <row r="29" spans="1:30" x14ac:dyDescent="0.25">
      <c r="A29" s="19" t="s">
        <v>72</v>
      </c>
      <c r="B29" s="19"/>
      <c r="C29" s="19"/>
      <c r="D29" s="19"/>
      <c r="E29" s="19"/>
      <c r="F29" s="19">
        <v>32</v>
      </c>
      <c r="G29" s="19">
        <v>21</v>
      </c>
      <c r="H29" s="19">
        <v>13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>
        <f>SUM(B29:X29)</f>
        <v>66</v>
      </c>
      <c r="Z29" s="24"/>
      <c r="AA29" s="25"/>
      <c r="AB29" s="7"/>
      <c r="AC29" s="7"/>
    </row>
    <row r="30" spans="1:30" x14ac:dyDescent="0.25">
      <c r="A30" s="19" t="s">
        <v>73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>
        <f>SUM(B30:X30)</f>
        <v>0</v>
      </c>
      <c r="Z30" s="24"/>
      <c r="AA30" s="25"/>
      <c r="AB30" s="7"/>
      <c r="AC30" s="7"/>
    </row>
    <row r="31" spans="1:30" ht="85.5" x14ac:dyDescent="0.25">
      <c r="A31" s="15" t="s">
        <v>60</v>
      </c>
      <c r="B31" s="20" t="s">
        <v>1</v>
      </c>
      <c r="C31" s="20" t="s">
        <v>2</v>
      </c>
      <c r="D31" s="20" t="s">
        <v>3</v>
      </c>
      <c r="E31" s="20" t="s">
        <v>4</v>
      </c>
      <c r="F31" s="20" t="s">
        <v>5</v>
      </c>
      <c r="G31" s="20" t="s">
        <v>6</v>
      </c>
      <c r="H31" s="20" t="s">
        <v>7</v>
      </c>
      <c r="I31" s="20" t="s">
        <v>8</v>
      </c>
      <c r="J31" s="20" t="s">
        <v>9</v>
      </c>
      <c r="K31" s="20" t="s">
        <v>10</v>
      </c>
      <c r="L31" s="20" t="s">
        <v>11</v>
      </c>
      <c r="M31" s="20" t="s">
        <v>12</v>
      </c>
      <c r="N31" s="20" t="s">
        <v>13</v>
      </c>
      <c r="O31" s="20" t="s">
        <v>14</v>
      </c>
      <c r="P31" s="20" t="s">
        <v>15</v>
      </c>
      <c r="Q31" s="20" t="s">
        <v>16</v>
      </c>
      <c r="R31" s="20" t="s">
        <v>61</v>
      </c>
      <c r="S31" s="20" t="s">
        <v>62</v>
      </c>
      <c r="T31" s="20" t="s">
        <v>63</v>
      </c>
      <c r="U31" s="20" t="s">
        <v>64</v>
      </c>
      <c r="V31" s="20" t="s">
        <v>66</v>
      </c>
      <c r="W31" s="20"/>
      <c r="X31" s="20" t="s">
        <v>71</v>
      </c>
      <c r="Y31" s="20" t="s">
        <v>21</v>
      </c>
      <c r="Z31" s="20" t="s">
        <v>65</v>
      </c>
      <c r="AA31" s="36"/>
      <c r="AB31" s="36"/>
      <c r="AC31" s="36"/>
      <c r="AD31" s="36"/>
    </row>
    <row r="32" spans="1:30" x14ac:dyDescent="0.25">
      <c r="A32" s="21"/>
    </row>
    <row r="33" spans="1:1" x14ac:dyDescent="0.25">
      <c r="A33" s="21"/>
    </row>
    <row r="34" spans="1:1" x14ac:dyDescent="0.25">
      <c r="A34" s="21"/>
    </row>
    <row r="35" spans="1:1" x14ac:dyDescent="0.25">
      <c r="A35" s="21"/>
    </row>
    <row r="36" spans="1:1" x14ac:dyDescent="0.25">
      <c r="A36" s="21"/>
    </row>
    <row r="37" spans="1:1" x14ac:dyDescent="0.25">
      <c r="A37" s="21"/>
    </row>
    <row r="38" spans="1:1" x14ac:dyDescent="0.25">
      <c r="A38" s="21"/>
    </row>
    <row r="39" spans="1:1" x14ac:dyDescent="0.25">
      <c r="A39" s="21"/>
    </row>
    <row r="40" spans="1:1" x14ac:dyDescent="0.25">
      <c r="A40" s="21"/>
    </row>
    <row r="41" spans="1:1" x14ac:dyDescent="0.25">
      <c r="A41" s="21"/>
    </row>
    <row r="42" spans="1:1" x14ac:dyDescent="0.25">
      <c r="A42" s="21"/>
    </row>
    <row r="43" spans="1:1" x14ac:dyDescent="0.25">
      <c r="A43" s="21"/>
    </row>
  </sheetData>
  <mergeCells count="2">
    <mergeCell ref="AA19:AD19"/>
    <mergeCell ref="AA31:AD31"/>
  </mergeCells>
  <pageMargins left="0.7" right="0.7" top="0.75" bottom="0.75" header="0.51180555555555496" footer="0.51180555555555496"/>
  <pageSetup firstPageNumber="0" orientation="portrait" horizontalDpi="300" verticalDpi="300" r:id="rId1"/>
  <ignoredErrors>
    <ignoredError sqref="AB13 X2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Divya Prakash</dc:creator>
  <cp:keywords/>
  <dc:description/>
  <cp:lastModifiedBy>Divya Prakash Dash</cp:lastModifiedBy>
  <cp:revision>12</cp:revision>
  <dcterms:created xsi:type="dcterms:W3CDTF">2020-07-17T16:28:50Z</dcterms:created>
  <dcterms:modified xsi:type="dcterms:W3CDTF">2026-01-05T04:41:49Z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